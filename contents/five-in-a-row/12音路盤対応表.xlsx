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音路盤対応表" sheetId="1" r:id="rId5"/>
    <sheet state="visible" name="石の並び" sheetId="2" r:id="rId6"/>
  </sheets>
  <definedNames/>
  <calcPr/>
</workbook>
</file>

<file path=xl/sharedStrings.xml><?xml version="1.0" encoding="utf-8"?>
<sst xmlns="http://schemas.openxmlformats.org/spreadsheetml/2006/main" count="193" uniqueCount="49">
  <si>
    <t>縦軸生成</t>
  </si>
  <si>
    <t>数列</t>
  </si>
  <si>
    <t>順位づけ</t>
  </si>
  <si>
    <t>音高</t>
  </si>
  <si>
    <t>乱数生成</t>
  </si>
  <si>
    <t>↓乱数の新規生成</t>
  </si>
  <si>
    <t>F</t>
  </si>
  <si>
    <t>F♯</t>
  </si>
  <si>
    <t>12音路盤対応表</t>
  </si>
  <si>
    <t>G</t>
  </si>
  <si>
    <t>×</t>
  </si>
  <si>
    <t>高音</t>
  </si>
  <si>
    <t>⚫︎</t>
  </si>
  <si>
    <t>棒四</t>
  </si>
  <si>
    <t>G♯</t>
  </si>
  <si>
    <t>⚪︎</t>
  </si>
  <si>
    <t>四</t>
  </si>
  <si>
    <t>飛び四-1</t>
  </si>
  <si>
    <t>飛び四-3</t>
  </si>
  <si>
    <t>A</t>
  </si>
  <si>
    <t>低音</t>
  </si>
  <si>
    <t>飛び四-2</t>
  </si>
  <si>
    <t>飛び四-4</t>
  </si>
  <si>
    <t>一</t>
  </si>
  <si>
    <t>A♯</t>
  </si>
  <si>
    <t>二</t>
  </si>
  <si>
    <t>三</t>
  </si>
  <si>
    <t>飛び三</t>
  </si>
  <si>
    <t>棒五</t>
  </si>
  <si>
    <t>B</t>
  </si>
  <si>
    <t>五</t>
  </si>
  <si>
    <t>C</t>
  </si>
  <si>
    <t>C♯</t>
  </si>
  <si>
    <t>D</t>
  </si>
  <si>
    <t>六</t>
  </si>
  <si>
    <t>D♯</t>
  </si>
  <si>
    <t>七</t>
  </si>
  <si>
    <t>E</t>
  </si>
  <si>
    <t>三三</t>
  </si>
  <si>
    <t>四三</t>
  </si>
  <si>
    <t>八</t>
  </si>
  <si>
    <t>九</t>
  </si>
  <si>
    <t>十</t>
  </si>
  <si>
    <t>十一</t>
  </si>
  <si>
    <t>横軸生成</t>
  </si>
  <si>
    <t>十二</t>
  </si>
  <si>
    <t>十三</t>
  </si>
  <si>
    <t>色付きの部分は高音部と低音部で音高が一致する目</t>
  </si>
  <si>
    <t>四四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</si>
</sst>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/>
    <font>
      <sz val="12.0"/>
      <color theme="1"/>
      <name val="Arial"/>
      <scheme val="minor"/>
    </font>
    <font>
      <sz val="1.0"/>
      <color theme="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2" fontId="2" numFmtId="0" xfId="0" applyAlignment="1" applyFill="1" applyFont="1">
      <alignment readingOrder="0"/>
    </xf>
    <xf borderId="3" fillId="0" fontId="2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Border="1" applyFont="1"/>
    <xf borderId="5" fillId="0" fontId="2" numFmtId="0" xfId="0" applyBorder="1" applyFont="1"/>
    <xf borderId="9" fillId="0" fontId="2" numFmtId="0" xfId="0" applyAlignment="1" applyBorder="1" applyFont="1">
      <alignment readingOrder="0"/>
    </xf>
    <xf borderId="8" fillId="0" fontId="1" numFmtId="0" xfId="0" applyAlignment="1" applyBorder="1" applyFont="1">
      <alignment horizontal="center" vertical="center"/>
    </xf>
    <xf borderId="4" fillId="0" fontId="2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0" fillId="0" fontId="4" numFmtId="0" xfId="0" applyAlignment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2" numFmtId="0" xfId="0" applyBorder="1" applyFont="1"/>
    <xf borderId="15" fillId="0" fontId="2" numFmtId="0" xfId="0" applyBorder="1" applyFont="1"/>
    <xf borderId="8" fillId="0" fontId="2" numFmtId="0" xfId="0" applyBorder="1" applyFont="1"/>
    <xf borderId="16" fillId="0" fontId="2" numFmtId="0" xfId="0" applyBorder="1" applyFont="1"/>
    <xf borderId="3" fillId="0" fontId="2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5" numFmtId="0" xfId="0" applyAlignment="1" applyBorder="1" applyFont="1">
      <alignment shrinkToFit="0" wrapText="1"/>
    </xf>
    <xf borderId="19" fillId="0" fontId="5" numFmtId="0" xfId="0" applyAlignment="1" applyBorder="1" applyFont="1">
      <alignment shrinkToFit="0" wrapText="1"/>
    </xf>
    <xf borderId="12" fillId="0" fontId="1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5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readingOrder="0"/>
    </xf>
    <xf borderId="9" fillId="0" fontId="3" numFmtId="0" xfId="0" applyBorder="1" applyFont="1"/>
    <xf borderId="22" fillId="0" fontId="2" numFmtId="0" xfId="0" applyBorder="1" applyFont="1"/>
    <xf borderId="23" fillId="0" fontId="5" numFmtId="0" xfId="0" applyAlignment="1" applyBorder="1" applyFont="1">
      <alignment shrinkToFit="0" wrapText="1"/>
    </xf>
    <xf borderId="24" fillId="0" fontId="5" numFmtId="0" xfId="0" applyAlignment="1" applyBorder="1" applyFont="1">
      <alignment shrinkToFit="0" wrapText="1"/>
    </xf>
    <xf borderId="0" fillId="0" fontId="4" numFmtId="0" xfId="0" applyAlignment="1" applyFont="1">
      <alignment horizontal="center" vertical="center"/>
    </xf>
    <xf borderId="25" fillId="0" fontId="5" numFmtId="0" xfId="0" applyAlignment="1" applyBorder="1" applyFont="1">
      <alignment shrinkToFit="0" wrapText="1"/>
    </xf>
    <xf borderId="8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6" fillId="0" fontId="2" numFmtId="0" xfId="0" applyAlignment="1" applyBorder="1" applyFont="1">
      <alignment readingOrder="0"/>
    </xf>
    <xf borderId="13" fillId="0" fontId="2" numFmtId="0" xfId="0" applyBorder="1" applyFont="1"/>
    <xf borderId="12" fillId="0" fontId="2" numFmtId="0" xfId="0" applyAlignment="1" applyBorder="1" applyFont="1">
      <alignment readingOrder="0"/>
    </xf>
    <xf borderId="26" fillId="0" fontId="2" numFmtId="0" xfId="0" applyBorder="1" applyFont="1"/>
    <xf borderId="26" fillId="0" fontId="3" numFmtId="0" xfId="0" applyBorder="1" applyFont="1"/>
    <xf borderId="27" fillId="0" fontId="2" numFmtId="0" xfId="0" applyBorder="1" applyFont="1"/>
    <xf borderId="28" fillId="0" fontId="5" numFmtId="0" xfId="0" applyAlignment="1" applyBorder="1" applyFont="1">
      <alignment shrinkToFit="0" wrapText="1"/>
    </xf>
    <xf borderId="29" fillId="0" fontId="5" numFmtId="0" xfId="0" applyAlignment="1" applyBorder="1" applyFont="1">
      <alignment shrinkToFit="0" wrapText="1"/>
    </xf>
    <xf borderId="30" fillId="0" fontId="5" numFmtId="0" xfId="0" applyAlignment="1" applyBorder="1" applyFont="1">
      <alignment shrinkToFit="0" wrapText="1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38"/>
    <col customWidth="1" min="3" max="3" width="7.63"/>
    <col customWidth="1" min="4" max="4" width="4.38"/>
    <col customWidth="1" min="5" max="5" width="12.63"/>
    <col customWidth="1" min="7" max="7" width="13.5"/>
    <col customWidth="1" min="8" max="8" width="4.88"/>
    <col customWidth="1" min="9" max="9" width="3.63"/>
    <col customWidth="1" min="10" max="22" width="3.0"/>
  </cols>
  <sheetData>
    <row r="1" ht="16.5" customHeight="1">
      <c r="A1" s="2" t="s">
        <v>0</v>
      </c>
      <c r="B1" s="2"/>
      <c r="C1" s="2"/>
      <c r="D1" s="2"/>
      <c r="E1" s="2"/>
    </row>
    <row r="2" ht="16.5" customHeight="1">
      <c r="A2" s="2"/>
      <c r="B2" s="2"/>
      <c r="C2" s="2"/>
      <c r="D2" s="2"/>
      <c r="E2" s="2"/>
    </row>
    <row r="3" ht="16.5" customHeight="1">
      <c r="A3" s="2"/>
      <c r="B3" s="4" t="s">
        <v>1</v>
      </c>
      <c r="C3" s="4" t="s">
        <v>2</v>
      </c>
      <c r="D3" s="5" t="s">
        <v>3</v>
      </c>
      <c r="E3" s="4" t="s">
        <v>4</v>
      </c>
      <c r="G3" s="6" t="s">
        <v>5</v>
      </c>
    </row>
    <row r="4" ht="16.5" customHeight="1">
      <c r="A4" s="2"/>
      <c r="B4" s="7">
        <v>1.0</v>
      </c>
      <c r="C4" s="12">
        <f t="shared" ref="C4:C15" si="1">RANK(E4,E$4:E$15,1)</f>
        <v>7</v>
      </c>
      <c r="D4" s="13" t="s">
        <v>6</v>
      </c>
      <c r="E4" s="14">
        <f t="shared" ref="E4:E15" si="2">RAND()</f>
        <v>0.6000329756</v>
      </c>
      <c r="G4" s="6" t="b">
        <v>1</v>
      </c>
    </row>
    <row r="5" ht="16.5" customHeight="1">
      <c r="A5" s="2"/>
      <c r="B5" s="16">
        <v>2.0</v>
      </c>
      <c r="C5" s="12">
        <f t="shared" si="1"/>
        <v>3</v>
      </c>
      <c r="D5" s="13" t="s">
        <v>7</v>
      </c>
      <c r="E5" s="14">
        <f t="shared" si="2"/>
        <v>0.3829278941</v>
      </c>
      <c r="H5" s="2" t="s">
        <v>8</v>
      </c>
    </row>
    <row r="6" ht="16.5" customHeight="1">
      <c r="A6" s="2"/>
      <c r="B6" s="16">
        <v>3.0</v>
      </c>
      <c r="C6" s="12">
        <f t="shared" si="1"/>
        <v>2</v>
      </c>
      <c r="D6" s="13" t="s">
        <v>9</v>
      </c>
      <c r="E6" s="14">
        <f t="shared" si="2"/>
        <v>0.3189046841</v>
      </c>
      <c r="H6" s="18"/>
      <c r="I6" s="19"/>
      <c r="J6" s="21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</row>
    <row r="7" ht="16.5" customHeight="1">
      <c r="A7" s="2"/>
      <c r="B7" s="16">
        <v>4.0</v>
      </c>
      <c r="C7" s="12">
        <f t="shared" si="1"/>
        <v>11</v>
      </c>
      <c r="D7" s="13" t="s">
        <v>14</v>
      </c>
      <c r="E7" s="14">
        <f t="shared" si="2"/>
        <v>0.8492266707</v>
      </c>
      <c r="H7" s="25"/>
      <c r="I7" s="26"/>
      <c r="J7" s="27" t="str">
        <f>VLOOKUP($B22,$C22:$D33,2,false)</f>
        <v>G♯</v>
      </c>
      <c r="K7" s="28" t="str">
        <f>VLOOKUP($B23,$C22:$D33,2,false)</f>
        <v>F</v>
      </c>
      <c r="L7" s="28" t="str">
        <f>VLOOKUP($B24,$C22:$D33,2,false)</f>
        <v>G</v>
      </c>
      <c r="M7" s="28" t="str">
        <f>VLOOKUP($B25,$C22:$D33,2,false)</f>
        <v>B</v>
      </c>
      <c r="N7" s="28" t="str">
        <f>VLOOKUP($B26,$C22:$D33,2,false)</f>
        <v>A</v>
      </c>
      <c r="O7" s="28" t="str">
        <f>VLOOKUP($B27,$C22:$D33,2,false)</f>
        <v>F♯</v>
      </c>
      <c r="P7" s="28" t="str">
        <f>VLOOKUP($B28,$C22:$D33,2,false)</f>
        <v>D♯</v>
      </c>
      <c r="Q7" s="28" t="str">
        <f>VLOOKUP($B29,$C22:$D33,2,false)</f>
        <v>A♯</v>
      </c>
      <c r="R7" s="28" t="str">
        <f>VLOOKUP($B30,$C22:$D33,2,false)</f>
        <v>D</v>
      </c>
      <c r="S7" s="28" t="str">
        <f>VLOOKUP($B31,$C22:$D33,2,false)</f>
        <v>C♯</v>
      </c>
      <c r="T7" s="28" t="str">
        <f>VLOOKUP($B32,$C22:$D33,2,false)</f>
        <v>E</v>
      </c>
      <c r="U7" s="28" t="str">
        <f>VLOOKUP($B33,$C22:$D33,2,false)</f>
        <v>C</v>
      </c>
      <c r="V7" s="30" t="str">
        <f>J7</f>
        <v>G♯</v>
      </c>
    </row>
    <row r="8" ht="16.5" customHeight="1">
      <c r="A8" s="2"/>
      <c r="B8" s="16">
        <v>5.0</v>
      </c>
      <c r="C8" s="12">
        <f t="shared" si="1"/>
        <v>1</v>
      </c>
      <c r="D8" s="13" t="s">
        <v>19</v>
      </c>
      <c r="E8" s="14">
        <f t="shared" si="2"/>
        <v>0.3177987152</v>
      </c>
      <c r="H8" s="31" t="s">
        <v>20</v>
      </c>
      <c r="I8" s="32" t="str">
        <f t="shared" ref="I8:I19" si="4">VLOOKUP(B4,C$4:E$15,2,false)</f>
        <v>A</v>
      </c>
      <c r="J8" s="33" t="b">
        <f t="shared" ref="J8:V8" si="3">EXACT(J$7,$I8)</f>
        <v>0</v>
      </c>
      <c r="K8" s="34" t="b">
        <f t="shared" si="3"/>
        <v>0</v>
      </c>
      <c r="L8" s="34" t="b">
        <f t="shared" si="3"/>
        <v>0</v>
      </c>
      <c r="M8" s="34" t="b">
        <f t="shared" si="3"/>
        <v>0</v>
      </c>
      <c r="N8" s="34" t="b">
        <f t="shared" si="3"/>
        <v>1</v>
      </c>
      <c r="O8" s="34" t="b">
        <f t="shared" si="3"/>
        <v>0</v>
      </c>
      <c r="P8" s="34" t="b">
        <f t="shared" si="3"/>
        <v>0</v>
      </c>
      <c r="Q8" s="34" t="b">
        <f t="shared" si="3"/>
        <v>0</v>
      </c>
      <c r="R8" s="34" t="b">
        <f t="shared" si="3"/>
        <v>0</v>
      </c>
      <c r="S8" s="34" t="b">
        <f t="shared" si="3"/>
        <v>0</v>
      </c>
      <c r="T8" s="34" t="b">
        <f t="shared" si="3"/>
        <v>0</v>
      </c>
      <c r="U8" s="34" t="b">
        <f t="shared" si="3"/>
        <v>0</v>
      </c>
      <c r="V8" s="37" t="b">
        <f t="shared" si="3"/>
        <v>0</v>
      </c>
      <c r="W8" s="39" t="s">
        <v>23</v>
      </c>
    </row>
    <row r="9" ht="16.5" customHeight="1">
      <c r="A9" s="2"/>
      <c r="B9" s="16">
        <v>6.0</v>
      </c>
      <c r="C9" s="12">
        <f t="shared" si="1"/>
        <v>10</v>
      </c>
      <c r="D9" s="13" t="s">
        <v>24</v>
      </c>
      <c r="E9" s="14">
        <f t="shared" si="2"/>
        <v>0.8354968183</v>
      </c>
      <c r="H9" s="40"/>
      <c r="I9" s="41" t="str">
        <f t="shared" si="4"/>
        <v>G</v>
      </c>
      <c r="J9" s="42" t="b">
        <f t="shared" ref="J9:V9" si="5">EXACT(J$7,$I9)</f>
        <v>0</v>
      </c>
      <c r="K9" s="43" t="b">
        <f t="shared" si="5"/>
        <v>0</v>
      </c>
      <c r="L9" s="43" t="b">
        <f t="shared" si="5"/>
        <v>1</v>
      </c>
      <c r="M9" s="43" t="b">
        <f t="shared" si="5"/>
        <v>0</v>
      </c>
      <c r="N9" s="43" t="b">
        <f t="shared" si="5"/>
        <v>0</v>
      </c>
      <c r="O9" s="43" t="b">
        <f t="shared" si="5"/>
        <v>0</v>
      </c>
      <c r="P9" s="43" t="b">
        <f t="shared" si="5"/>
        <v>0</v>
      </c>
      <c r="Q9" s="43" t="b">
        <f t="shared" si="5"/>
        <v>0</v>
      </c>
      <c r="R9" s="43" t="b">
        <f t="shared" si="5"/>
        <v>0</v>
      </c>
      <c r="S9" s="43" t="b">
        <f t="shared" si="5"/>
        <v>0</v>
      </c>
      <c r="T9" s="43" t="b">
        <f t="shared" si="5"/>
        <v>0</v>
      </c>
      <c r="U9" s="43" t="b">
        <f t="shared" si="5"/>
        <v>0</v>
      </c>
      <c r="V9" s="45" t="b">
        <f t="shared" si="5"/>
        <v>0</v>
      </c>
      <c r="W9" s="39" t="s">
        <v>25</v>
      </c>
    </row>
    <row r="10" ht="16.5" customHeight="1">
      <c r="A10" s="2"/>
      <c r="B10" s="16">
        <v>7.0</v>
      </c>
      <c r="C10" s="12">
        <f t="shared" si="1"/>
        <v>4</v>
      </c>
      <c r="D10" s="13" t="s">
        <v>29</v>
      </c>
      <c r="E10" s="14">
        <f t="shared" si="2"/>
        <v>0.3985499926</v>
      </c>
      <c r="H10" s="40"/>
      <c r="I10" s="41" t="str">
        <f t="shared" si="4"/>
        <v>F♯</v>
      </c>
      <c r="J10" s="42" t="b">
        <f t="shared" ref="J10:V10" si="6">EXACT(J$7,$I10)</f>
        <v>0</v>
      </c>
      <c r="K10" s="43" t="b">
        <f t="shared" si="6"/>
        <v>0</v>
      </c>
      <c r="L10" s="43" t="b">
        <f t="shared" si="6"/>
        <v>0</v>
      </c>
      <c r="M10" s="43" t="b">
        <f t="shared" si="6"/>
        <v>0</v>
      </c>
      <c r="N10" s="43" t="b">
        <f t="shared" si="6"/>
        <v>0</v>
      </c>
      <c r="O10" s="43" t="b">
        <f t="shared" si="6"/>
        <v>1</v>
      </c>
      <c r="P10" s="43" t="b">
        <f t="shared" si="6"/>
        <v>0</v>
      </c>
      <c r="Q10" s="43" t="b">
        <f t="shared" si="6"/>
        <v>0</v>
      </c>
      <c r="R10" s="43" t="b">
        <f t="shared" si="6"/>
        <v>0</v>
      </c>
      <c r="S10" s="43" t="b">
        <f t="shared" si="6"/>
        <v>0</v>
      </c>
      <c r="T10" s="43" t="b">
        <f t="shared" si="6"/>
        <v>0</v>
      </c>
      <c r="U10" s="43" t="b">
        <f t="shared" si="6"/>
        <v>0</v>
      </c>
      <c r="V10" s="45" t="b">
        <f t="shared" si="6"/>
        <v>0</v>
      </c>
      <c r="W10" s="39" t="s">
        <v>26</v>
      </c>
    </row>
    <row r="11" ht="16.5" customHeight="1">
      <c r="A11" s="2"/>
      <c r="B11" s="16">
        <v>8.0</v>
      </c>
      <c r="C11" s="12">
        <f t="shared" si="1"/>
        <v>6</v>
      </c>
      <c r="D11" s="13" t="s">
        <v>31</v>
      </c>
      <c r="E11" s="14">
        <f t="shared" si="2"/>
        <v>0.5326270573</v>
      </c>
      <c r="H11" s="40"/>
      <c r="I11" s="41" t="str">
        <f t="shared" si="4"/>
        <v>B</v>
      </c>
      <c r="J11" s="42" t="b">
        <f t="shared" ref="J11:V11" si="7">EXACT(J$7,$I11)</f>
        <v>0</v>
      </c>
      <c r="K11" s="43" t="b">
        <f t="shared" si="7"/>
        <v>0</v>
      </c>
      <c r="L11" s="43" t="b">
        <f t="shared" si="7"/>
        <v>0</v>
      </c>
      <c r="M11" s="43" t="b">
        <f t="shared" si="7"/>
        <v>1</v>
      </c>
      <c r="N11" s="43" t="b">
        <f t="shared" si="7"/>
        <v>0</v>
      </c>
      <c r="O11" s="43" t="b">
        <f t="shared" si="7"/>
        <v>0</v>
      </c>
      <c r="P11" s="43" t="b">
        <f t="shared" si="7"/>
        <v>0</v>
      </c>
      <c r="Q11" s="43" t="b">
        <f t="shared" si="7"/>
        <v>0</v>
      </c>
      <c r="R11" s="43" t="b">
        <f t="shared" si="7"/>
        <v>0</v>
      </c>
      <c r="S11" s="43" t="b">
        <f t="shared" si="7"/>
        <v>0</v>
      </c>
      <c r="T11" s="43" t="b">
        <f t="shared" si="7"/>
        <v>0</v>
      </c>
      <c r="U11" s="43" t="b">
        <f t="shared" si="7"/>
        <v>0</v>
      </c>
      <c r="V11" s="45" t="b">
        <f t="shared" si="7"/>
        <v>0</v>
      </c>
      <c r="W11" s="39" t="s">
        <v>16</v>
      </c>
    </row>
    <row r="12" ht="16.5" customHeight="1">
      <c r="A12" s="2"/>
      <c r="B12" s="16">
        <v>9.0</v>
      </c>
      <c r="C12" s="12">
        <f t="shared" si="1"/>
        <v>8</v>
      </c>
      <c r="D12" s="13" t="s">
        <v>32</v>
      </c>
      <c r="E12" s="14">
        <f t="shared" si="2"/>
        <v>0.6786350641</v>
      </c>
      <c r="H12" s="40"/>
      <c r="I12" s="41" t="str">
        <f t="shared" si="4"/>
        <v>D</v>
      </c>
      <c r="J12" s="42" t="b">
        <f t="shared" ref="J12:V12" si="8">EXACT(J$7,$I12)</f>
        <v>0</v>
      </c>
      <c r="K12" s="43" t="b">
        <f t="shared" si="8"/>
        <v>0</v>
      </c>
      <c r="L12" s="43" t="b">
        <f t="shared" si="8"/>
        <v>0</v>
      </c>
      <c r="M12" s="43" t="b">
        <f t="shared" si="8"/>
        <v>0</v>
      </c>
      <c r="N12" s="43" t="b">
        <f t="shared" si="8"/>
        <v>0</v>
      </c>
      <c r="O12" s="43" t="b">
        <f t="shared" si="8"/>
        <v>0</v>
      </c>
      <c r="P12" s="43" t="b">
        <f t="shared" si="8"/>
        <v>0</v>
      </c>
      <c r="Q12" s="43" t="b">
        <f t="shared" si="8"/>
        <v>0</v>
      </c>
      <c r="R12" s="43" t="b">
        <f t="shared" si="8"/>
        <v>1</v>
      </c>
      <c r="S12" s="43" t="b">
        <f t="shared" si="8"/>
        <v>0</v>
      </c>
      <c r="T12" s="43" t="b">
        <f t="shared" si="8"/>
        <v>0</v>
      </c>
      <c r="U12" s="43" t="b">
        <f t="shared" si="8"/>
        <v>0</v>
      </c>
      <c r="V12" s="45" t="b">
        <f t="shared" si="8"/>
        <v>0</v>
      </c>
      <c r="W12" s="39" t="s">
        <v>30</v>
      </c>
    </row>
    <row r="13" ht="16.5" customHeight="1">
      <c r="A13" s="2"/>
      <c r="B13" s="16">
        <v>10.0</v>
      </c>
      <c r="C13" s="12">
        <f t="shared" si="1"/>
        <v>5</v>
      </c>
      <c r="D13" s="13" t="s">
        <v>33</v>
      </c>
      <c r="E13" s="14">
        <f t="shared" si="2"/>
        <v>0.4577937235</v>
      </c>
      <c r="H13" s="40"/>
      <c r="I13" s="41" t="str">
        <f t="shared" si="4"/>
        <v>C</v>
      </c>
      <c r="J13" s="42" t="b">
        <f t="shared" ref="J13:V13" si="9">EXACT(J$7,$I13)</f>
        <v>0</v>
      </c>
      <c r="K13" s="43" t="b">
        <f t="shared" si="9"/>
        <v>0</v>
      </c>
      <c r="L13" s="43" t="b">
        <f t="shared" si="9"/>
        <v>0</v>
      </c>
      <c r="M13" s="43" t="b">
        <f t="shared" si="9"/>
        <v>0</v>
      </c>
      <c r="N13" s="43" t="b">
        <f t="shared" si="9"/>
        <v>0</v>
      </c>
      <c r="O13" s="43" t="b">
        <f t="shared" si="9"/>
        <v>0</v>
      </c>
      <c r="P13" s="43" t="b">
        <f t="shared" si="9"/>
        <v>0</v>
      </c>
      <c r="Q13" s="43" t="b">
        <f t="shared" si="9"/>
        <v>0</v>
      </c>
      <c r="R13" s="43" t="b">
        <f t="shared" si="9"/>
        <v>0</v>
      </c>
      <c r="S13" s="43" t="b">
        <f t="shared" si="9"/>
        <v>0</v>
      </c>
      <c r="T13" s="43" t="b">
        <f t="shared" si="9"/>
        <v>0</v>
      </c>
      <c r="U13" s="43" t="b">
        <f t="shared" si="9"/>
        <v>1</v>
      </c>
      <c r="V13" s="45" t="b">
        <f t="shared" si="9"/>
        <v>0</v>
      </c>
      <c r="W13" s="39" t="s">
        <v>34</v>
      </c>
    </row>
    <row r="14" ht="16.5" customHeight="1">
      <c r="A14" s="2"/>
      <c r="B14" s="16">
        <v>11.0</v>
      </c>
      <c r="C14" s="12">
        <f t="shared" si="1"/>
        <v>12</v>
      </c>
      <c r="D14" s="13" t="s">
        <v>35</v>
      </c>
      <c r="E14" s="14">
        <f t="shared" si="2"/>
        <v>0.8749466716</v>
      </c>
      <c r="H14" s="40"/>
      <c r="I14" s="41" t="str">
        <f t="shared" si="4"/>
        <v>F</v>
      </c>
      <c r="J14" s="42" t="b">
        <f t="shared" ref="J14:V14" si="10">EXACT(J$7,$I14)</f>
        <v>0</v>
      </c>
      <c r="K14" s="43" t="b">
        <f t="shared" si="10"/>
        <v>1</v>
      </c>
      <c r="L14" s="43" t="b">
        <f t="shared" si="10"/>
        <v>0</v>
      </c>
      <c r="M14" s="43" t="b">
        <f t="shared" si="10"/>
        <v>0</v>
      </c>
      <c r="N14" s="43" t="b">
        <f t="shared" si="10"/>
        <v>0</v>
      </c>
      <c r="O14" s="43" t="b">
        <f t="shared" si="10"/>
        <v>0</v>
      </c>
      <c r="P14" s="43" t="b">
        <f t="shared" si="10"/>
        <v>0</v>
      </c>
      <c r="Q14" s="43" t="b">
        <f t="shared" si="10"/>
        <v>0</v>
      </c>
      <c r="R14" s="43" t="b">
        <f t="shared" si="10"/>
        <v>0</v>
      </c>
      <c r="S14" s="43" t="b">
        <f t="shared" si="10"/>
        <v>0</v>
      </c>
      <c r="T14" s="43" t="b">
        <f t="shared" si="10"/>
        <v>0</v>
      </c>
      <c r="U14" s="43" t="b">
        <f t="shared" si="10"/>
        <v>0</v>
      </c>
      <c r="V14" s="45" t="b">
        <f t="shared" si="10"/>
        <v>0</v>
      </c>
      <c r="W14" s="39" t="s">
        <v>36</v>
      </c>
    </row>
    <row r="15" ht="16.5" customHeight="1">
      <c r="A15" s="2"/>
      <c r="B15" s="49">
        <v>12.0</v>
      </c>
      <c r="C15" s="50">
        <f t="shared" si="1"/>
        <v>9</v>
      </c>
      <c r="D15" s="51" t="s">
        <v>37</v>
      </c>
      <c r="E15" s="52">
        <f t="shared" si="2"/>
        <v>0.7587224632</v>
      </c>
      <c r="H15" s="40"/>
      <c r="I15" s="41" t="str">
        <f t="shared" si="4"/>
        <v>C♯</v>
      </c>
      <c r="J15" s="42" t="b">
        <f t="shared" ref="J15:V15" si="11">EXACT(J$7,$I15)</f>
        <v>0</v>
      </c>
      <c r="K15" s="43" t="b">
        <f t="shared" si="11"/>
        <v>0</v>
      </c>
      <c r="L15" s="43" t="b">
        <f t="shared" si="11"/>
        <v>0</v>
      </c>
      <c r="M15" s="43" t="b">
        <f t="shared" si="11"/>
        <v>0</v>
      </c>
      <c r="N15" s="43" t="b">
        <f t="shared" si="11"/>
        <v>0</v>
      </c>
      <c r="O15" s="43" t="b">
        <f t="shared" si="11"/>
        <v>0</v>
      </c>
      <c r="P15" s="43" t="b">
        <f t="shared" si="11"/>
        <v>0</v>
      </c>
      <c r="Q15" s="43" t="b">
        <f t="shared" si="11"/>
        <v>0</v>
      </c>
      <c r="R15" s="43" t="b">
        <f t="shared" si="11"/>
        <v>0</v>
      </c>
      <c r="S15" s="43" t="b">
        <f t="shared" si="11"/>
        <v>1</v>
      </c>
      <c r="T15" s="43" t="b">
        <f t="shared" si="11"/>
        <v>0</v>
      </c>
      <c r="U15" s="43" t="b">
        <f t="shared" si="11"/>
        <v>0</v>
      </c>
      <c r="V15" s="45" t="b">
        <f t="shared" si="11"/>
        <v>0</v>
      </c>
      <c r="W15" s="39" t="s">
        <v>40</v>
      </c>
    </row>
    <row r="16" ht="16.5" customHeight="1">
      <c r="H16" s="40"/>
      <c r="I16" s="41" t="str">
        <f t="shared" si="4"/>
        <v>E</v>
      </c>
      <c r="J16" s="42" t="b">
        <f t="shared" ref="J16:V16" si="12">EXACT(J$7,$I16)</f>
        <v>0</v>
      </c>
      <c r="K16" s="43" t="b">
        <f t="shared" si="12"/>
        <v>0</v>
      </c>
      <c r="L16" s="43" t="b">
        <f t="shared" si="12"/>
        <v>0</v>
      </c>
      <c r="M16" s="43" t="b">
        <f t="shared" si="12"/>
        <v>0</v>
      </c>
      <c r="N16" s="43" t="b">
        <f t="shared" si="12"/>
        <v>0</v>
      </c>
      <c r="O16" s="43" t="b">
        <f t="shared" si="12"/>
        <v>0</v>
      </c>
      <c r="P16" s="43" t="b">
        <f t="shared" si="12"/>
        <v>0</v>
      </c>
      <c r="Q16" s="43" t="b">
        <f t="shared" si="12"/>
        <v>0</v>
      </c>
      <c r="R16" s="43" t="b">
        <f t="shared" si="12"/>
        <v>0</v>
      </c>
      <c r="S16" s="43" t="b">
        <f t="shared" si="12"/>
        <v>0</v>
      </c>
      <c r="T16" s="43" t="b">
        <f t="shared" si="12"/>
        <v>1</v>
      </c>
      <c r="U16" s="43" t="b">
        <f t="shared" si="12"/>
        <v>0</v>
      </c>
      <c r="V16" s="45" t="b">
        <f t="shared" si="12"/>
        <v>0</v>
      </c>
      <c r="W16" s="39" t="s">
        <v>41</v>
      </c>
    </row>
    <row r="17" ht="16.5" customHeight="1">
      <c r="H17" s="40"/>
      <c r="I17" s="41" t="str">
        <f t="shared" si="4"/>
        <v>A♯</v>
      </c>
      <c r="J17" s="42" t="b">
        <f t="shared" ref="J17:V17" si="13">EXACT(J$7,$I17)</f>
        <v>0</v>
      </c>
      <c r="K17" s="43" t="b">
        <f t="shared" si="13"/>
        <v>0</v>
      </c>
      <c r="L17" s="43" t="b">
        <f t="shared" si="13"/>
        <v>0</v>
      </c>
      <c r="M17" s="43" t="b">
        <f t="shared" si="13"/>
        <v>0</v>
      </c>
      <c r="N17" s="43" t="b">
        <f t="shared" si="13"/>
        <v>0</v>
      </c>
      <c r="O17" s="43" t="b">
        <f t="shared" si="13"/>
        <v>0</v>
      </c>
      <c r="P17" s="43" t="b">
        <f t="shared" si="13"/>
        <v>0</v>
      </c>
      <c r="Q17" s="43" t="b">
        <f t="shared" si="13"/>
        <v>1</v>
      </c>
      <c r="R17" s="43" t="b">
        <f t="shared" si="13"/>
        <v>0</v>
      </c>
      <c r="S17" s="43" t="b">
        <f t="shared" si="13"/>
        <v>0</v>
      </c>
      <c r="T17" s="43" t="b">
        <f t="shared" si="13"/>
        <v>0</v>
      </c>
      <c r="U17" s="43" t="b">
        <f t="shared" si="13"/>
        <v>0</v>
      </c>
      <c r="V17" s="45" t="b">
        <f t="shared" si="13"/>
        <v>0</v>
      </c>
      <c r="W17" s="39" t="s">
        <v>42</v>
      </c>
    </row>
    <row r="18" ht="16.5" customHeight="1">
      <c r="B18" s="2"/>
      <c r="C18" s="2"/>
      <c r="D18" s="2"/>
      <c r="E18" s="2"/>
      <c r="H18" s="40"/>
      <c r="I18" s="41" t="str">
        <f t="shared" si="4"/>
        <v>G♯</v>
      </c>
      <c r="J18" s="42" t="b">
        <f t="shared" ref="J18:V18" si="14">EXACT(J$7,$I18)</f>
        <v>1</v>
      </c>
      <c r="K18" s="43" t="b">
        <f t="shared" si="14"/>
        <v>0</v>
      </c>
      <c r="L18" s="43" t="b">
        <f t="shared" si="14"/>
        <v>0</v>
      </c>
      <c r="M18" s="43" t="b">
        <f t="shared" si="14"/>
        <v>0</v>
      </c>
      <c r="N18" s="43" t="b">
        <f t="shared" si="14"/>
        <v>0</v>
      </c>
      <c r="O18" s="43" t="b">
        <f t="shared" si="14"/>
        <v>0</v>
      </c>
      <c r="P18" s="43" t="b">
        <f t="shared" si="14"/>
        <v>0</v>
      </c>
      <c r="Q18" s="43" t="b">
        <f t="shared" si="14"/>
        <v>0</v>
      </c>
      <c r="R18" s="43" t="b">
        <f t="shared" si="14"/>
        <v>0</v>
      </c>
      <c r="S18" s="43" t="b">
        <f t="shared" si="14"/>
        <v>0</v>
      </c>
      <c r="T18" s="43" t="b">
        <f t="shared" si="14"/>
        <v>0</v>
      </c>
      <c r="U18" s="43" t="b">
        <f t="shared" si="14"/>
        <v>0</v>
      </c>
      <c r="V18" s="45" t="b">
        <f t="shared" si="14"/>
        <v>1</v>
      </c>
      <c r="W18" s="39" t="s">
        <v>43</v>
      </c>
    </row>
    <row r="19" ht="16.5" customHeight="1">
      <c r="A19" s="2" t="s">
        <v>44</v>
      </c>
      <c r="B19" s="2"/>
      <c r="C19" s="2"/>
      <c r="D19" s="2"/>
      <c r="E19" s="2"/>
      <c r="H19" s="40"/>
      <c r="I19" s="41" t="str">
        <f t="shared" si="4"/>
        <v>D♯</v>
      </c>
      <c r="J19" s="42" t="b">
        <f t="shared" ref="J19:V19" si="15">EXACT(J$7,$I19)</f>
        <v>0</v>
      </c>
      <c r="K19" s="43" t="b">
        <f t="shared" si="15"/>
        <v>0</v>
      </c>
      <c r="L19" s="43" t="b">
        <f t="shared" si="15"/>
        <v>0</v>
      </c>
      <c r="M19" s="43" t="b">
        <f t="shared" si="15"/>
        <v>0</v>
      </c>
      <c r="N19" s="43" t="b">
        <f t="shared" si="15"/>
        <v>0</v>
      </c>
      <c r="O19" s="43" t="b">
        <f t="shared" si="15"/>
        <v>0</v>
      </c>
      <c r="P19" s="43" t="b">
        <f t="shared" si="15"/>
        <v>1</v>
      </c>
      <c r="Q19" s="43" t="b">
        <f t="shared" si="15"/>
        <v>0</v>
      </c>
      <c r="R19" s="43" t="b">
        <f t="shared" si="15"/>
        <v>0</v>
      </c>
      <c r="S19" s="43" t="b">
        <f t="shared" si="15"/>
        <v>0</v>
      </c>
      <c r="T19" s="43" t="b">
        <f t="shared" si="15"/>
        <v>0</v>
      </c>
      <c r="U19" s="43" t="b">
        <f t="shared" si="15"/>
        <v>0</v>
      </c>
      <c r="V19" s="45" t="b">
        <f t="shared" si="15"/>
        <v>0</v>
      </c>
      <c r="W19" s="39" t="s">
        <v>45</v>
      </c>
    </row>
    <row r="20" ht="16.5" customHeight="1">
      <c r="A20" s="2"/>
      <c r="B20" s="2"/>
      <c r="C20" s="2"/>
      <c r="D20" s="2"/>
      <c r="E20" s="2"/>
      <c r="H20" s="53"/>
      <c r="I20" s="54" t="str">
        <f>I8</f>
        <v>A</v>
      </c>
      <c r="J20" s="55" t="b">
        <f t="shared" ref="J20:V20" si="16">EXACT(J$7,$I20)</f>
        <v>0</v>
      </c>
      <c r="K20" s="56" t="b">
        <f t="shared" si="16"/>
        <v>0</v>
      </c>
      <c r="L20" s="56" t="b">
        <f t="shared" si="16"/>
        <v>0</v>
      </c>
      <c r="M20" s="56" t="b">
        <f t="shared" si="16"/>
        <v>0</v>
      </c>
      <c r="N20" s="56" t="b">
        <f t="shared" si="16"/>
        <v>1</v>
      </c>
      <c r="O20" s="56" t="b">
        <f t="shared" si="16"/>
        <v>0</v>
      </c>
      <c r="P20" s="56" t="b">
        <f t="shared" si="16"/>
        <v>0</v>
      </c>
      <c r="Q20" s="56" t="b">
        <f t="shared" si="16"/>
        <v>0</v>
      </c>
      <c r="R20" s="56" t="b">
        <f t="shared" si="16"/>
        <v>0</v>
      </c>
      <c r="S20" s="56" t="b">
        <f t="shared" si="16"/>
        <v>0</v>
      </c>
      <c r="T20" s="56" t="b">
        <f t="shared" si="16"/>
        <v>0</v>
      </c>
      <c r="U20" s="56" t="b">
        <f t="shared" si="16"/>
        <v>0</v>
      </c>
      <c r="V20" s="57" t="b">
        <f t="shared" si="16"/>
        <v>0</v>
      </c>
      <c r="W20" s="39" t="s">
        <v>46</v>
      </c>
    </row>
    <row r="21" ht="16.5" customHeight="1">
      <c r="A21" s="2"/>
      <c r="B21" s="4" t="s">
        <v>1</v>
      </c>
      <c r="C21" s="4" t="s">
        <v>2</v>
      </c>
      <c r="D21" s="5" t="s">
        <v>3</v>
      </c>
      <c r="E21" s="4" t="s">
        <v>4</v>
      </c>
      <c r="J21" s="2">
        <v>1.0</v>
      </c>
      <c r="K21" s="2">
        <v>2.0</v>
      </c>
      <c r="L21" s="2">
        <v>3.0</v>
      </c>
      <c r="M21" s="2">
        <v>4.0</v>
      </c>
      <c r="N21" s="2">
        <v>5.0</v>
      </c>
      <c r="O21" s="2">
        <v>6.0</v>
      </c>
      <c r="P21" s="2">
        <v>7.0</v>
      </c>
      <c r="Q21" s="2">
        <v>8.0</v>
      </c>
      <c r="R21" s="2">
        <v>9.0</v>
      </c>
      <c r="S21" s="2">
        <v>10.0</v>
      </c>
      <c r="T21" s="2">
        <v>11.0</v>
      </c>
      <c r="U21" s="2">
        <v>12.0</v>
      </c>
      <c r="V21" s="2">
        <v>13.0</v>
      </c>
    </row>
    <row r="22" ht="16.5" customHeight="1">
      <c r="A22" s="2"/>
      <c r="B22" s="7">
        <v>1.0</v>
      </c>
      <c r="C22" s="12">
        <f t="shared" ref="C22:C33" si="17">RANK(E22,E$22:E$33,1)</f>
        <v>2</v>
      </c>
      <c r="D22" s="13" t="s">
        <v>6</v>
      </c>
      <c r="E22" s="14">
        <f t="shared" ref="E22:E33" si="18">RAND()</f>
        <v>0.25368291</v>
      </c>
    </row>
    <row r="23" ht="16.5" customHeight="1">
      <c r="A23" s="2"/>
      <c r="B23" s="16">
        <v>2.0</v>
      </c>
      <c r="C23" s="12">
        <f t="shared" si="17"/>
        <v>6</v>
      </c>
      <c r="D23" s="13" t="s">
        <v>7</v>
      </c>
      <c r="E23" s="14">
        <f t="shared" si="18"/>
        <v>0.5211467392</v>
      </c>
      <c r="H23" s="2" t="s">
        <v>47</v>
      </c>
    </row>
    <row r="24" ht="16.5" customHeight="1">
      <c r="A24" s="2"/>
      <c r="B24" s="16">
        <v>3.0</v>
      </c>
      <c r="C24" s="12">
        <f t="shared" si="17"/>
        <v>3</v>
      </c>
      <c r="D24" s="13" t="s">
        <v>9</v>
      </c>
      <c r="E24" s="14">
        <f t="shared" si="18"/>
        <v>0.3004297634</v>
      </c>
    </row>
    <row r="25" ht="16.5" customHeight="1">
      <c r="A25" s="2"/>
      <c r="B25" s="16">
        <v>4.0</v>
      </c>
      <c r="C25" s="12">
        <f t="shared" si="17"/>
        <v>1</v>
      </c>
      <c r="D25" s="13" t="s">
        <v>14</v>
      </c>
      <c r="E25" s="14">
        <f t="shared" si="18"/>
        <v>0.138697883</v>
      </c>
    </row>
    <row r="26" ht="16.5" customHeight="1">
      <c r="A26" s="2"/>
      <c r="B26" s="16">
        <v>5.0</v>
      </c>
      <c r="C26" s="12">
        <f t="shared" si="17"/>
        <v>5</v>
      </c>
      <c r="D26" s="13" t="s">
        <v>19</v>
      </c>
      <c r="E26" s="14">
        <f t="shared" si="18"/>
        <v>0.4095973901</v>
      </c>
    </row>
    <row r="27" ht="16.5" customHeight="1">
      <c r="A27" s="2"/>
      <c r="B27" s="16">
        <v>6.0</v>
      </c>
      <c r="C27" s="12">
        <f t="shared" si="17"/>
        <v>8</v>
      </c>
      <c r="D27" s="13" t="s">
        <v>24</v>
      </c>
      <c r="E27" s="14">
        <f t="shared" si="18"/>
        <v>0.5817698435</v>
      </c>
    </row>
    <row r="28" ht="16.5" customHeight="1">
      <c r="A28" s="2"/>
      <c r="B28" s="16">
        <v>7.0</v>
      </c>
      <c r="C28" s="12">
        <f t="shared" si="17"/>
        <v>4</v>
      </c>
      <c r="D28" s="13" t="s">
        <v>29</v>
      </c>
      <c r="E28" s="14">
        <f t="shared" si="18"/>
        <v>0.3173289603</v>
      </c>
    </row>
    <row r="29" ht="16.5" customHeight="1">
      <c r="A29" s="2"/>
      <c r="B29" s="16">
        <v>8.0</v>
      </c>
      <c r="C29" s="12">
        <f t="shared" si="17"/>
        <v>12</v>
      </c>
      <c r="D29" s="13" t="s">
        <v>31</v>
      </c>
      <c r="E29" s="14">
        <f t="shared" si="18"/>
        <v>0.8172189932</v>
      </c>
    </row>
    <row r="30" ht="16.5" customHeight="1">
      <c r="A30" s="2"/>
      <c r="B30" s="16">
        <v>9.0</v>
      </c>
      <c r="C30" s="12">
        <f t="shared" si="17"/>
        <v>10</v>
      </c>
      <c r="D30" s="13" t="s">
        <v>32</v>
      </c>
      <c r="E30" s="14">
        <f t="shared" si="18"/>
        <v>0.6405655615</v>
      </c>
    </row>
    <row r="31" ht="16.5" customHeight="1">
      <c r="A31" s="2"/>
      <c r="B31" s="16">
        <v>10.0</v>
      </c>
      <c r="C31" s="12">
        <f t="shared" si="17"/>
        <v>9</v>
      </c>
      <c r="D31" s="13" t="s">
        <v>33</v>
      </c>
      <c r="E31" s="14">
        <f t="shared" si="18"/>
        <v>0.6038225009</v>
      </c>
    </row>
    <row r="32" ht="16.5" customHeight="1">
      <c r="A32" s="2"/>
      <c r="B32" s="16">
        <v>11.0</v>
      </c>
      <c r="C32" s="12">
        <f t="shared" si="17"/>
        <v>7</v>
      </c>
      <c r="D32" s="13" t="s">
        <v>35</v>
      </c>
      <c r="E32" s="14">
        <f t="shared" si="18"/>
        <v>0.5509535845</v>
      </c>
    </row>
    <row r="33" ht="16.5" customHeight="1">
      <c r="A33" s="2"/>
      <c r="B33" s="49">
        <v>12.0</v>
      </c>
      <c r="C33" s="50">
        <f t="shared" si="17"/>
        <v>11</v>
      </c>
      <c r="D33" s="51" t="s">
        <v>37</v>
      </c>
      <c r="E33" s="52">
        <f t="shared" si="18"/>
        <v>0.6883086595</v>
      </c>
    </row>
  </sheetData>
  <mergeCells count="3">
    <mergeCell ref="H6:I7"/>
    <mergeCell ref="J6:V6"/>
    <mergeCell ref="H8:H20"/>
  </mergeCells>
  <conditionalFormatting sqref="J8:V20">
    <cfRule type="cellIs" dxfId="0" priority="1" operator="equal">
      <formula>"TRUE"</formula>
    </cfRule>
  </conditionalFormatting>
  <conditionalFormatting sqref="H6:V20">
    <cfRule type="cellIs" dxfId="1" priority="2" operator="equal">
      <formula>"F"</formula>
    </cfRule>
  </conditionalFormatting>
  <conditionalFormatting sqref="H6:V20">
    <cfRule type="cellIs" dxfId="1" priority="3" operator="equal">
      <formula>"B"</formula>
    </cfRule>
  </conditionalFormatting>
  <conditionalFormatting sqref="H6:V20">
    <cfRule type="cellIs" dxfId="2" priority="4" operator="equal">
      <formula>"F♯"</formula>
    </cfRule>
  </conditionalFormatting>
  <conditionalFormatting sqref="H6:V20">
    <cfRule type="cellIs" dxfId="2" priority="5" operator="equal">
      <formula>"C"</formula>
    </cfRule>
  </conditionalFormatting>
  <conditionalFormatting sqref="H6:V20">
    <cfRule type="cellIs" dxfId="3" priority="6" operator="equal">
      <formula>"G"</formula>
    </cfRule>
  </conditionalFormatting>
  <conditionalFormatting sqref="H6:V20">
    <cfRule type="cellIs" dxfId="3" priority="7" operator="equal">
      <formula>"C♯"</formula>
    </cfRule>
  </conditionalFormatting>
  <conditionalFormatting sqref="H6:V20">
    <cfRule type="cellIs" dxfId="4" priority="8" operator="equal">
      <formula>"G♯"</formula>
    </cfRule>
  </conditionalFormatting>
  <conditionalFormatting sqref="H6:V20">
    <cfRule type="cellIs" dxfId="4" priority="9" operator="equal">
      <formula>"D"</formula>
    </cfRule>
  </conditionalFormatting>
  <conditionalFormatting sqref="H6:V20">
    <cfRule type="cellIs" dxfId="5" priority="10" operator="equal">
      <formula>"A"</formula>
    </cfRule>
  </conditionalFormatting>
  <conditionalFormatting sqref="H6:V20">
    <cfRule type="cellIs" dxfId="5" priority="11" operator="equal">
      <formula>"D♯"</formula>
    </cfRule>
  </conditionalFormatting>
  <conditionalFormatting sqref="H6:V20">
    <cfRule type="cellIs" dxfId="6" priority="12" operator="equal">
      <formula>"A♯"</formula>
    </cfRule>
  </conditionalFormatting>
  <conditionalFormatting sqref="H6:V20">
    <cfRule type="cellIs" dxfId="6" priority="13" operator="equal">
      <formula>"E"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8" width="3.25"/>
  </cols>
  <sheetData>
    <row r="1" ht="18.0" customHeight="1">
      <c r="A1" s="1"/>
      <c r="B1" s="1"/>
      <c r="C1" s="3"/>
      <c r="D1" s="1"/>
      <c r="E1" s="1"/>
      <c r="F1" s="3"/>
      <c r="G1" s="1"/>
      <c r="H1" s="1"/>
      <c r="I1" s="1"/>
      <c r="J1" s="1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B1" s="3"/>
      <c r="AC1" s="1"/>
      <c r="AE1" s="1"/>
      <c r="AF1" s="1"/>
      <c r="AG1" s="1"/>
      <c r="AH1" s="1"/>
      <c r="AI1" s="1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ht="18.0" customHeight="1">
      <c r="A2" s="1"/>
      <c r="B2" s="8"/>
      <c r="C2" s="9"/>
      <c r="D2" s="10"/>
      <c r="E2" s="10"/>
      <c r="F2" s="9"/>
      <c r="G2" s="11"/>
      <c r="H2" s="8"/>
      <c r="I2" s="10"/>
      <c r="J2" s="10"/>
      <c r="K2" s="10"/>
      <c r="L2" s="10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5"/>
      <c r="AB2" s="9"/>
      <c r="AC2" s="10"/>
      <c r="AD2" s="15"/>
      <c r="AE2" s="10"/>
      <c r="AF2" s="10"/>
      <c r="AG2" s="10"/>
      <c r="AH2" s="11"/>
      <c r="AI2" s="1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ht="18.0" customHeight="1">
      <c r="A3" s="1"/>
      <c r="B3" s="17"/>
      <c r="C3" s="3"/>
      <c r="D3" s="1"/>
      <c r="E3" s="1"/>
      <c r="F3" s="3" t="s">
        <v>10</v>
      </c>
      <c r="G3" s="20"/>
      <c r="H3" s="17"/>
      <c r="I3" s="1"/>
      <c r="J3" s="3" t="s">
        <v>10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10</v>
      </c>
      <c r="P3" s="1"/>
      <c r="Q3" s="1"/>
      <c r="R3" s="24" t="s">
        <v>13</v>
      </c>
      <c r="S3" s="1"/>
      <c r="T3" s="1"/>
      <c r="U3" s="1"/>
      <c r="V3" s="1"/>
      <c r="W3" s="1"/>
      <c r="X3" s="3" t="s">
        <v>15</v>
      </c>
      <c r="Y3" s="3" t="s">
        <v>12</v>
      </c>
      <c r="Z3" s="3" t="s">
        <v>12</v>
      </c>
      <c r="AA3" s="3" t="s">
        <v>12</v>
      </c>
      <c r="AB3" s="3" t="s">
        <v>12</v>
      </c>
      <c r="AC3" s="3" t="s">
        <v>10</v>
      </c>
      <c r="AD3" s="1"/>
      <c r="AE3" s="1"/>
      <c r="AF3" s="24" t="s">
        <v>16</v>
      </c>
      <c r="AG3" s="1"/>
      <c r="AH3" s="20"/>
      <c r="AI3" s="1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ht="18.0" customHeight="1">
      <c r="A4" s="1"/>
      <c r="B4" s="17"/>
      <c r="C4" s="3" t="s">
        <v>10</v>
      </c>
      <c r="D4" s="1"/>
      <c r="E4" s="1"/>
      <c r="F4" s="3" t="s">
        <v>12</v>
      </c>
      <c r="G4" s="20"/>
      <c r="H4" s="17"/>
      <c r="I4" s="1"/>
      <c r="J4" s="1"/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1"/>
      <c r="AD4" s="1"/>
      <c r="AE4" s="1"/>
      <c r="AF4" s="1"/>
      <c r="AG4" s="1"/>
      <c r="AH4" s="20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18.0" customHeight="1">
      <c r="A5" s="1"/>
      <c r="B5" s="17"/>
      <c r="C5" s="3" t="s">
        <v>12</v>
      </c>
      <c r="D5" s="1"/>
      <c r="E5" s="1"/>
      <c r="F5" s="3" t="s">
        <v>12</v>
      </c>
      <c r="G5" s="20"/>
      <c r="H5" s="17"/>
      <c r="I5" s="3" t="s">
        <v>10</v>
      </c>
      <c r="J5" s="3" t="s">
        <v>12</v>
      </c>
      <c r="K5" s="3" t="s">
        <v>12</v>
      </c>
      <c r="L5" s="3" t="s">
        <v>12</v>
      </c>
      <c r="M5" s="3" t="s">
        <v>10</v>
      </c>
      <c r="N5" s="3" t="s">
        <v>12</v>
      </c>
      <c r="O5" s="3" t="s">
        <v>10</v>
      </c>
      <c r="P5" s="1"/>
      <c r="Q5" s="1"/>
      <c r="R5" s="24" t="s">
        <v>17</v>
      </c>
      <c r="S5" s="1"/>
      <c r="T5" s="1"/>
      <c r="U5" s="1"/>
      <c r="V5" s="1"/>
      <c r="W5" s="3" t="s">
        <v>10</v>
      </c>
      <c r="X5" s="3" t="s">
        <v>12</v>
      </c>
      <c r="Y5" s="3" t="s">
        <v>12</v>
      </c>
      <c r="Z5" s="3" t="s">
        <v>12</v>
      </c>
      <c r="AA5" s="3" t="s">
        <v>10</v>
      </c>
      <c r="AB5" s="3" t="s">
        <v>12</v>
      </c>
      <c r="AC5" s="3" t="s">
        <v>15</v>
      </c>
      <c r="AD5" s="1"/>
      <c r="AE5" s="1"/>
      <c r="AF5" s="24" t="s">
        <v>18</v>
      </c>
      <c r="AG5" s="1"/>
      <c r="AH5" s="12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18.0" customHeight="1">
      <c r="A6" s="1"/>
      <c r="B6" s="17"/>
      <c r="C6" s="3" t="s">
        <v>12</v>
      </c>
      <c r="D6" s="1"/>
      <c r="E6" s="3"/>
      <c r="F6" s="3" t="s">
        <v>10</v>
      </c>
      <c r="G6" s="12"/>
      <c r="H6" s="29"/>
      <c r="I6" s="1"/>
      <c r="J6" s="1"/>
      <c r="K6" s="1"/>
      <c r="L6" s="1"/>
      <c r="M6" s="1"/>
      <c r="N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E6" s="1"/>
      <c r="AF6" s="1"/>
      <c r="AG6" s="1"/>
      <c r="AH6" s="20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18.0" customHeight="1">
      <c r="A7" s="1"/>
      <c r="B7" s="17"/>
      <c r="C7" s="3" t="s">
        <v>12</v>
      </c>
      <c r="D7" s="1"/>
      <c r="E7" s="1"/>
      <c r="F7" s="3" t="s">
        <v>12</v>
      </c>
      <c r="G7" s="20"/>
      <c r="H7" s="17"/>
      <c r="I7" s="3" t="s">
        <v>10</v>
      </c>
      <c r="J7" s="3" t="s">
        <v>12</v>
      </c>
      <c r="K7" s="3" t="s">
        <v>12</v>
      </c>
      <c r="L7" s="3" t="s">
        <v>10</v>
      </c>
      <c r="M7" s="3" t="s">
        <v>12</v>
      </c>
      <c r="N7" s="3" t="s">
        <v>12</v>
      </c>
      <c r="O7" s="3" t="s">
        <v>10</v>
      </c>
      <c r="P7" s="1"/>
      <c r="R7" s="24" t="s">
        <v>21</v>
      </c>
      <c r="S7" s="1"/>
      <c r="T7" s="1"/>
      <c r="U7" s="1"/>
      <c r="W7" s="3" t="s">
        <v>15</v>
      </c>
      <c r="X7" s="3" t="s">
        <v>12</v>
      </c>
      <c r="Y7" s="3" t="s">
        <v>12</v>
      </c>
      <c r="Z7" s="3" t="s">
        <v>10</v>
      </c>
      <c r="AA7" s="3" t="s">
        <v>12</v>
      </c>
      <c r="AB7" s="3" t="s">
        <v>12</v>
      </c>
      <c r="AC7" s="3" t="s">
        <v>10</v>
      </c>
      <c r="AD7" s="1"/>
      <c r="AF7" s="24" t="s">
        <v>22</v>
      </c>
      <c r="AG7" s="1"/>
      <c r="AH7" s="20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8.0" customHeight="1">
      <c r="A8" s="1"/>
      <c r="B8" s="17"/>
      <c r="C8" s="3" t="s">
        <v>10</v>
      </c>
      <c r="D8" s="1"/>
      <c r="E8" s="1"/>
      <c r="F8" s="3" t="s">
        <v>10</v>
      </c>
      <c r="G8" s="20"/>
      <c r="H8" s="35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18.0" customHeight="1">
      <c r="A9" s="1"/>
      <c r="B9" s="17"/>
      <c r="C9" s="1"/>
      <c r="D9" s="1"/>
      <c r="E9" s="1"/>
      <c r="F9" s="1"/>
      <c r="G9" s="20"/>
      <c r="H9" s="8"/>
      <c r="I9" s="10"/>
      <c r="J9" s="10"/>
      <c r="K9" s="10"/>
      <c r="L9" s="10"/>
      <c r="M9" s="10"/>
      <c r="N9" s="10"/>
      <c r="O9" s="10"/>
      <c r="P9" s="10"/>
      <c r="Q9" s="10"/>
      <c r="R9" s="15"/>
      <c r="S9" s="10"/>
      <c r="T9" s="10"/>
      <c r="U9" s="15"/>
      <c r="V9" s="10"/>
      <c r="W9" s="10"/>
      <c r="X9" s="10"/>
      <c r="Y9" s="10"/>
      <c r="Z9" s="10"/>
      <c r="AA9" s="10"/>
      <c r="AB9" s="10"/>
      <c r="AC9" s="10"/>
      <c r="AD9" s="15"/>
      <c r="AE9" s="10"/>
      <c r="AF9" s="10"/>
      <c r="AG9" s="10"/>
      <c r="AH9" s="1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ht="18.0" customHeight="1">
      <c r="A10" s="44"/>
      <c r="B10" s="46"/>
      <c r="C10" s="24" t="s">
        <v>26</v>
      </c>
      <c r="D10" s="44"/>
      <c r="E10" s="44"/>
      <c r="F10" s="24" t="s">
        <v>27</v>
      </c>
      <c r="G10" s="12"/>
      <c r="H10" s="46"/>
      <c r="I10" s="3" t="s">
        <v>10</v>
      </c>
      <c r="J10" s="3" t="s">
        <v>12</v>
      </c>
      <c r="K10" s="3" t="s">
        <v>12</v>
      </c>
      <c r="L10" s="3" t="s">
        <v>12</v>
      </c>
      <c r="M10" s="3" t="s">
        <v>12</v>
      </c>
      <c r="N10" s="3" t="s">
        <v>12</v>
      </c>
      <c r="O10" s="3" t="s">
        <v>10</v>
      </c>
      <c r="P10" s="1"/>
      <c r="Q10" s="1"/>
      <c r="R10" s="24" t="s">
        <v>28</v>
      </c>
      <c r="S10" s="1"/>
      <c r="T10" s="1"/>
      <c r="U10" s="1"/>
      <c r="V10" s="1"/>
      <c r="W10" s="3" t="s">
        <v>10</v>
      </c>
      <c r="X10" s="3" t="s">
        <v>12</v>
      </c>
      <c r="Y10" s="3" t="s">
        <v>12</v>
      </c>
      <c r="Z10" s="3" t="s">
        <v>12</v>
      </c>
      <c r="AA10" s="3" t="s">
        <v>12</v>
      </c>
      <c r="AB10" s="3" t="s">
        <v>12</v>
      </c>
      <c r="AC10" s="3" t="s">
        <v>15</v>
      </c>
      <c r="AD10" s="1"/>
      <c r="AE10" s="1"/>
      <c r="AF10" s="24" t="s">
        <v>30</v>
      </c>
      <c r="AG10" s="1"/>
      <c r="AH10" s="47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</row>
    <row r="11" ht="18.0" customHeight="1">
      <c r="A11" s="1"/>
      <c r="B11" s="35"/>
      <c r="C11" s="48"/>
      <c r="D11" s="48"/>
      <c r="E11" s="48"/>
      <c r="F11" s="48"/>
      <c r="G11" s="38"/>
      <c r="H11" s="35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38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ht="18.0" customHeight="1">
      <c r="A12" s="1"/>
      <c r="B12" s="8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ht="18.0" customHeight="1">
      <c r="A13" s="1"/>
      <c r="B13" s="17"/>
      <c r="C13" s="3" t="s">
        <v>10</v>
      </c>
      <c r="D13" s="3" t="s">
        <v>10</v>
      </c>
      <c r="E13" s="1"/>
      <c r="F13" s="1"/>
      <c r="G13" s="1"/>
      <c r="H13" s="1"/>
      <c r="J13" s="3" t="s">
        <v>10</v>
      </c>
      <c r="K13" s="1"/>
      <c r="L13" s="1"/>
      <c r="M13" s="1"/>
      <c r="N13" s="1"/>
      <c r="O13" s="1"/>
      <c r="P13" s="1"/>
      <c r="Q13" s="3" t="s">
        <v>10</v>
      </c>
      <c r="R13" s="1"/>
      <c r="S13" s="1"/>
      <c r="T13" s="1"/>
      <c r="U13" s="1"/>
      <c r="V13" s="1"/>
      <c r="Y13" s="3" t="s">
        <v>10</v>
      </c>
      <c r="AC13" s="1"/>
      <c r="AD13" s="1"/>
      <c r="AE13" s="1"/>
      <c r="AF13" s="1"/>
      <c r="AG13" s="1"/>
      <c r="AH13" s="20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ht="18.0" customHeight="1">
      <c r="A14" s="1"/>
      <c r="B14" s="17"/>
      <c r="D14" s="3" t="s">
        <v>12</v>
      </c>
      <c r="E14" s="1"/>
      <c r="F14" s="1"/>
      <c r="G14" s="1"/>
      <c r="H14" s="1"/>
      <c r="J14" s="3" t="s">
        <v>12</v>
      </c>
      <c r="K14" s="1"/>
      <c r="L14" s="1"/>
      <c r="M14" s="1"/>
      <c r="N14" s="1"/>
      <c r="O14" s="1"/>
      <c r="P14" s="1"/>
      <c r="Q14" s="3" t="s">
        <v>12</v>
      </c>
      <c r="R14" s="1"/>
      <c r="S14" s="1"/>
      <c r="T14" s="1"/>
      <c r="U14" s="1"/>
      <c r="V14" s="1"/>
      <c r="W14" s="3" t="s">
        <v>15</v>
      </c>
      <c r="X14" s="3" t="s">
        <v>12</v>
      </c>
      <c r="Y14" s="3" t="s">
        <v>12</v>
      </c>
      <c r="Z14" s="3" t="s">
        <v>12</v>
      </c>
      <c r="AA14" s="3" t="s">
        <v>12</v>
      </c>
      <c r="AB14" s="3" t="s">
        <v>10</v>
      </c>
      <c r="AC14" s="1"/>
      <c r="AD14" s="1"/>
      <c r="AE14" s="1"/>
      <c r="AF14" s="1"/>
      <c r="AG14" s="1"/>
      <c r="AH14" s="20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ht="18.0" customHeight="1">
      <c r="A15" s="1"/>
      <c r="B15" s="17"/>
      <c r="D15" s="3" t="s">
        <v>12</v>
      </c>
      <c r="E15" s="3" t="s">
        <v>12</v>
      </c>
      <c r="F15" s="1"/>
      <c r="G15" s="1"/>
      <c r="H15" s="1"/>
      <c r="I15" s="3" t="s">
        <v>10</v>
      </c>
      <c r="J15" s="3" t="s">
        <v>12</v>
      </c>
      <c r="K15" s="3" t="s">
        <v>12</v>
      </c>
      <c r="L15" s="3" t="s">
        <v>12</v>
      </c>
      <c r="M15" s="3" t="s">
        <v>10</v>
      </c>
      <c r="N15" s="1"/>
      <c r="O15" s="1"/>
      <c r="P15" s="1"/>
      <c r="Q15" s="3" t="s">
        <v>12</v>
      </c>
      <c r="R15" s="1"/>
      <c r="S15" s="1"/>
      <c r="T15" s="1"/>
      <c r="U15" s="1"/>
      <c r="V15" s="1"/>
      <c r="W15" s="1"/>
      <c r="X15" s="1"/>
      <c r="Y15" s="1"/>
      <c r="Z15" s="1"/>
      <c r="AA15" s="3" t="s">
        <v>12</v>
      </c>
      <c r="AB15" s="1"/>
      <c r="AC15" s="1"/>
      <c r="AD15" s="1"/>
      <c r="AE15" s="1"/>
      <c r="AF15" s="1"/>
      <c r="AG15" s="1"/>
      <c r="AH15" s="20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ht="18.0" customHeight="1">
      <c r="A16" s="1"/>
      <c r="B16" s="17"/>
      <c r="D16" s="3" t="s">
        <v>12</v>
      </c>
      <c r="E16" s="1"/>
      <c r="F16" s="3" t="s">
        <v>12</v>
      </c>
      <c r="G16" s="1"/>
      <c r="H16" s="1"/>
      <c r="J16" s="3" t="s">
        <v>12</v>
      </c>
      <c r="K16" s="1"/>
      <c r="L16" s="1"/>
      <c r="M16" s="1"/>
      <c r="N16" s="1"/>
      <c r="O16" s="1"/>
      <c r="P16" s="3" t="s">
        <v>10</v>
      </c>
      <c r="Q16" s="3" t="s">
        <v>12</v>
      </c>
      <c r="R16" s="3" t="s">
        <v>12</v>
      </c>
      <c r="S16" s="3" t="s">
        <v>12</v>
      </c>
      <c r="T16" s="3" t="s">
        <v>12</v>
      </c>
      <c r="U16" s="3" t="s">
        <v>15</v>
      </c>
      <c r="V16" s="1"/>
      <c r="W16" s="1"/>
      <c r="X16" s="1"/>
      <c r="Y16" s="1"/>
      <c r="Z16" s="1"/>
      <c r="AA16" s="1"/>
      <c r="AB16" s="3" t="s">
        <v>12</v>
      </c>
      <c r="AC16" s="1"/>
      <c r="AD16" s="1"/>
      <c r="AE16" s="1"/>
      <c r="AF16" s="1"/>
      <c r="AG16" s="1"/>
      <c r="AH16" s="20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ht="18.0" customHeight="1">
      <c r="A17" s="1"/>
      <c r="B17" s="17"/>
      <c r="D17" s="3" t="s">
        <v>10</v>
      </c>
      <c r="E17" s="1"/>
      <c r="F17" s="1"/>
      <c r="G17" s="3" t="s">
        <v>10</v>
      </c>
      <c r="H17" s="1"/>
      <c r="J17" s="3" t="s">
        <v>10</v>
      </c>
      <c r="K17" s="1"/>
      <c r="L17" s="1"/>
      <c r="M17" s="1"/>
      <c r="N17" s="1"/>
      <c r="O17" s="1"/>
      <c r="P17" s="1"/>
      <c r="Q17" s="3" t="s">
        <v>10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3" t="s">
        <v>10</v>
      </c>
      <c r="AD17" s="1"/>
      <c r="AE17" s="1"/>
      <c r="AF17" s="1"/>
      <c r="AG17" s="1"/>
      <c r="AH17" s="20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8.0" customHeight="1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2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8.0" customHeight="1">
      <c r="A19" s="1"/>
      <c r="B19" s="17"/>
      <c r="C19" s="1"/>
      <c r="D19" s="24" t="s">
        <v>38</v>
      </c>
      <c r="E19" s="1"/>
      <c r="F19" s="1"/>
      <c r="G19" s="1"/>
      <c r="H19" s="1"/>
      <c r="I19" s="1"/>
      <c r="J19" s="24" t="s">
        <v>38</v>
      </c>
      <c r="K19" s="1"/>
      <c r="L19" s="1"/>
      <c r="M19" s="1"/>
      <c r="N19" s="1"/>
      <c r="O19" s="1"/>
      <c r="P19" s="1"/>
      <c r="Q19" s="24" t="s">
        <v>39</v>
      </c>
      <c r="R19" s="1"/>
      <c r="S19" s="1"/>
      <c r="T19" s="1"/>
      <c r="U19" s="1"/>
      <c r="V19" s="1"/>
      <c r="W19" s="1"/>
      <c r="X19" s="24" t="s">
        <v>39</v>
      </c>
      <c r="Y19" s="1"/>
      <c r="Z19" s="1"/>
      <c r="AA19" s="1"/>
      <c r="AB19" s="1"/>
      <c r="AC19" s="1"/>
      <c r="AD19" s="1"/>
      <c r="AE19" s="1"/>
      <c r="AF19" s="1"/>
      <c r="AG19" s="1"/>
      <c r="AH19" s="20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8.0" customHeight="1">
      <c r="A20" s="1"/>
      <c r="B20" s="1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20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18.0" customHeight="1">
      <c r="A21" s="1"/>
      <c r="B21" s="17"/>
      <c r="C21" s="1"/>
      <c r="D21" s="1"/>
      <c r="E21" s="1"/>
      <c r="F21" s="1"/>
      <c r="G21" s="3" t="s">
        <v>10</v>
      </c>
      <c r="H21" s="1"/>
      <c r="I21" s="1"/>
      <c r="J21" s="3" t="s">
        <v>10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20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8.0" customHeight="1">
      <c r="A22" s="1"/>
      <c r="B22" s="17"/>
      <c r="C22" s="3" t="s">
        <v>15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10</v>
      </c>
      <c r="I22" s="1"/>
      <c r="J22" s="1"/>
      <c r="K22" s="3" t="s">
        <v>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20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8.0" customHeight="1">
      <c r="A23" s="1"/>
      <c r="B23" s="17"/>
      <c r="C23" s="1"/>
      <c r="D23" s="1"/>
      <c r="E23" s="1"/>
      <c r="F23" s="1"/>
      <c r="G23" s="3" t="s">
        <v>12</v>
      </c>
      <c r="H23" s="1"/>
      <c r="I23" s="1"/>
      <c r="J23" s="3" t="s">
        <v>10</v>
      </c>
      <c r="K23" s="3" t="s">
        <v>12</v>
      </c>
      <c r="L23" s="3" t="s">
        <v>12</v>
      </c>
      <c r="M23" s="3" t="s">
        <v>12</v>
      </c>
      <c r="N23" s="3" t="s">
        <v>12</v>
      </c>
      <c r="O23" s="3" t="s">
        <v>15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2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8.0" customHeight="1">
      <c r="A24" s="1"/>
      <c r="B24" s="17"/>
      <c r="C24" s="1"/>
      <c r="D24" s="1"/>
      <c r="E24" s="1"/>
      <c r="F24" s="1"/>
      <c r="G24" s="3" t="s">
        <v>12</v>
      </c>
      <c r="H24" s="1"/>
      <c r="I24" s="1"/>
      <c r="J24" s="1"/>
      <c r="K24" s="1"/>
      <c r="L24" s="1"/>
      <c r="M24" s="3" t="s">
        <v>12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20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8.0" customHeight="1">
      <c r="A25" s="1"/>
      <c r="B25" s="17"/>
      <c r="C25" s="1"/>
      <c r="D25" s="1"/>
      <c r="E25" s="1"/>
      <c r="F25" s="1"/>
      <c r="G25" s="3" t="s">
        <v>12</v>
      </c>
      <c r="H25" s="1"/>
      <c r="I25" s="1"/>
      <c r="J25" s="1"/>
      <c r="K25" s="1"/>
      <c r="L25" s="1"/>
      <c r="M25" s="1"/>
      <c r="N25" s="3" t="s">
        <v>12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2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8.0" customHeight="1">
      <c r="A26" s="1"/>
      <c r="B26" s="17"/>
      <c r="C26" s="1"/>
      <c r="D26" s="1"/>
      <c r="E26" s="1"/>
      <c r="F26" s="1"/>
      <c r="G26" s="3" t="s">
        <v>15</v>
      </c>
      <c r="H26" s="1"/>
      <c r="I26" s="1"/>
      <c r="J26" s="1"/>
      <c r="K26" s="1"/>
      <c r="L26" s="1"/>
      <c r="M26" s="1"/>
      <c r="N26" s="1"/>
      <c r="O26" s="3" t="s">
        <v>15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2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8.0" customHeight="1">
      <c r="A27" s="1"/>
      <c r="B27" s="17"/>
      <c r="C27" s="1"/>
      <c r="D27" s="2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20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8.0" customHeight="1">
      <c r="A28" s="1"/>
      <c r="B28" s="17"/>
      <c r="C28" s="1"/>
      <c r="D28" s="24" t="s">
        <v>48</v>
      </c>
      <c r="E28" s="1"/>
      <c r="F28" s="1"/>
      <c r="G28" s="1"/>
      <c r="H28" s="1"/>
      <c r="I28" s="1"/>
      <c r="J28" s="1"/>
      <c r="K28" s="24" t="s">
        <v>48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20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8.0" customHeight="1">
      <c r="A29" s="1"/>
      <c r="B29" s="35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3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  <row r="1001" ht="18.0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</row>
    <row r="1002" ht="18.0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</row>
    <row r="1003" ht="18.0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</row>
  </sheetData>
  <drawing r:id="rId1"/>
</worksheet>
</file>